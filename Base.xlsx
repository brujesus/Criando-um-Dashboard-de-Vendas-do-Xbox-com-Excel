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40418920\Downloads\Curso Excel\Criando uma Dashboad de Vendas do Xbox com Excel\"/>
    </mc:Choice>
  </mc:AlternateContent>
  <xr:revisionPtr revIDLastSave="0" documentId="13_ncr:1_{27BD13B8-B1B5-4FEC-AAE8-36CED188C0F5}" xr6:coauthVersionLast="36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3" l="1"/>
  <c r="E24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<sst xmlns="http://schemas.openxmlformats.org/spreadsheetml/2006/main" count="2022" uniqueCount="324">
  <si>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</si>
  <si>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</si>
  <si>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</si>
  <si>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</si>
  <si>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</si>
  <si>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</si>
  <si>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</si>
  <si>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</si>
  <si>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</si>
  <si>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</si>
  <si>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</si>
  <si>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</si>
  <si>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</si>
  <si>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</si>
  <si>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</si>
  <si>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</si>
  <si>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</si>
  <si>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</si>
  <si>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</si>
  <si>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</si>
  <si>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</si>
  <si>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</si>
  <si>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</si>
  <si>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</si>
  <si>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</si>
  <si>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</si>
  <si>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</si>
  <si>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</si>
  <si>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</si>
  <si>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</si>
  <si>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</si>
  <si>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</si>
  <si>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</si>
  <si>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</si>
  <si>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</si>
  <si>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</si>
  <si>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</si>
  <si>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</si>
  <si>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</si>
  <si>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</si>
  <si>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</si>
  <si>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</si>
  <si>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</si>
  <si>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</si>
  <si>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</si>
  <si>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</si>
  <si>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</si>
  <si>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</si>
  <si>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</si>
  <si>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</si>
  <si>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</si>
  <si>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</si>
  <si>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</si>
  <si>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</si>
  <si>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</si>
  <si>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</si>
  <si>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</si>
  <si>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</si>
  <si>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</si>
  <si>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</si>
  <si>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</si>
  <si>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</si>
  <si>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</si>
  <si>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</si>
  <si>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</si>
  <si>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</si>
  <si>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</si>
  <si>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</si>
  <si>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</si>
  <si>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</si>
  <si>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</si>
  <si>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</si>
  <si>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</si>
  <si>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</si>
  <si>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</si>
  <si>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</si>
  <si>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</si>
  <si>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</si>
  <si>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</si>
  <si>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</si>
  <si>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</si>
  <si>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</si>
  <si>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</si>
  <si>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</si>
  <si>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</si>
  <si>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</si>
  <si>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</si>
  <si>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</si>
  <si>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</si>
  <si>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</si>
  <si>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</si>
  <si>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</si>
  <si>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</si>
  <si>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</si>
  <si>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</si>
  <si>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</si>
  <si>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</si>
  <si>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</si>
  <si>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</si>
  <si>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</si>
  <si>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</si>
  <si>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</si>
  <si>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</si>
  <si>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</si>
  <si>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</si>
  <si>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</si>
  <si>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</si>
  <si>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</si>
  <si>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</si>
  <si>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</si>
  <si>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</si>
  <si>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</si>
  <si>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</si>
  <si>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</si>
  <si>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</si>
  <si>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</si>
  <si>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</si>
  <si>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</si>
  <si>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</si>
  <si>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</si>
  <si>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</si>
  <si>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</si>
  <si>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</si>
  <si>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</si>
  <si>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</si>
  <si>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</si>
  <si>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</si>
  <si>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</si>
  <si>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</si>
  <si>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</si>
  <si>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</si>
  <si>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</si>
  <si>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</si>
  <si>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</si>
  <si>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</si>
  <si>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</si>
  <si>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</si>
  <si>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</si>
  <si>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</si>
  <si>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</si>
  <si>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</si>
  <si>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</si>
  <si>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</si>
  <si>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</si>
  <si>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</si>
  <si>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</si>
  <si>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</si>
  <si>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</si>
  <si>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</si>
  <si>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</si>
  <si>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</si>
  <si>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</si>
  <si>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</si>
  <si>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</si>
  <si>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</si>
  <si>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</si>
  <si>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</si>
  <si>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</si>
  <si>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</si>
  <si>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</si>
  <si>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</si>
  <si>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</si>
  <si>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</si>
  <si>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</si>
  <si>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</si>
  <si>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</si>
  <si>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</si>
  <si>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</si>
  <si>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</si>
  <si>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</si>
  <si>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</si>
  <si>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</si>
  <si>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</si>
  <si>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</si>
  <si>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</si>
  <si>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</si>
  <si>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</si>
  <si>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</si>
  <si>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</si>
  <si>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</si>
  <si>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</si>
  <si>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</si>
  <si>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</si>
  <si>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</si>
  <si>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</si>
  <si>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</si>
  <si>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</si>
  <si>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</si>
  <si>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</si>
  <si>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</si>
  <si>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</si>
  <si>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</si>
  <si>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</si>
  <si>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</si>
  <si>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</si>
  <si>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</si>
  <si>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</si>
  <si>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</si>
  <si>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</si>
  <si>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</si>
  <si>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</si>
  <si>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</si>
  <si>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</si>
  <si>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</si>
  <si>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</si>
  <si>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</si>
  <si>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</si>
  <si>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</si>
  <si>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</si>
  <si>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</si>
  <si>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</si>
  <si>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</si>
  <si>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</si>
  <si>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</si>
  <si>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</si>
  <si>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</si>
  <si>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</si>
  <si>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</si>
  <si>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</si>
  <si>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</si>
  <si>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</si>
  <si>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</si>
  <si>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</si>
  <si>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</si>
  <si>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</si>
  <si>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</si>
  <si>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</si>
  <si>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</si>
  <si>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</si>
  <si>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</si>
  <si>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</si>
  <si>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</si>
  <si>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</si>
  <si>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</si>
  <si>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</si>
  <si>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</si>
  <si>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</si>
  <si>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</si>
  <si>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</si>
  <si>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</si>
  <si>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</si>
  <si>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</si>
  <si>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</si>
  <si>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</si>
  <si>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</si>
  <si>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</si>
  <si>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</si>
  <si>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</si>
  <si>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</si>
  <si>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</si>
  <si>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</si>
  <si>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</si>
  <si>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</si>
  <si>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</si>
  <si>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</si>
  <si>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</si>
  <si>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</si>
  <si>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</si>
  <si>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</si>
  <si>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</si>
  <si>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</si>
  <si>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</si>
  <si>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</si>
  <si>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</si>
  <si>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</si>
  <si>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</si>
  <si>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</si>
  <si>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</si>
  <si>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</si>
  <si>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</si>
  <si>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</si>
  <si>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</si>
  <si>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</si>
  <si>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</si>
  <si>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</si>
  <si>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</si>
  <si>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</si>
  <si>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</si>
  <si>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</si>
  <si>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</si>
  <si>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</si>
  <si>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</si>
  <si>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</si>
  <si>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</si>
  <si>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</si>
  <si>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</si>
  <si>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</si>
  <si>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</si>
  <si>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</si>
  <si>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</si>
  <si>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</si>
  <si>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</si>
  <si>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</si>
  <si>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</si>
  <si>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</si>
  <si>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</si>
  <si>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</si>
  <si>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</si>
  <si>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</si>
  <si>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</si>
  <si>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</si>
  <si>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</si>
  <si>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</si>
  <si>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</si>
  <si>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</si>
  <si>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</si>
  <si>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</si>
  <si>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</si>
  <si>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</si>
  <si>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</si>
  <si>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</si>
  <si>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</si>
  <si>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</si>
  <si>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</si>
  <si>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</si>
  <si>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</si>
  <si>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de Negócio 1 - Qual o faturamento </t>
    </r>
    <r>
      <rPr>
        <b/>
        <i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i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</si>
  <si>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Negócio 2 - Qual o faturamento </t>
    </r>
    <r>
      <rPr>
        <b/>
        <i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i/>
        <sz val="11"/>
        <color theme="1"/>
        <rFont val="Aptos Narrow"/>
        <scheme val="minor"/>
      </rPr>
      <t>PLANOS ANUAIS</t>
    </r>
    <r>
      <rPr>
        <i/>
        <sz val="11"/>
        <color theme="1"/>
        <rFont val="Aptos Narrow"/>
        <scheme val="minor"/>
      </rPr>
      <t xml:space="preserve">, </t>
    </r>
    <r>
      <rPr>
        <sz val="11"/>
        <color theme="1"/>
        <rFont val="Aptos Narrow"/>
        <scheme val="minor"/>
      </rPr>
      <t>separados por auto renovação e por não auto renovação</t>
    </r>
  </si>
  <si>
    <t>XBOX GAME PASS SUBSCRIPTIONS SALES</t>
  </si>
  <si>
    <r>
      <t xml:space="preserve">Pergunta de Negócios 3 - Qual o </t>
    </r>
    <r>
      <rPr>
        <b/>
        <i/>
        <sz val="11"/>
        <color theme="1"/>
        <rFont val="Aptos Narrow"/>
        <scheme val="minor"/>
      </rPr>
      <t>TOTAL DE VENDA</t>
    </r>
    <r>
      <rPr>
        <sz val="11"/>
        <color theme="1"/>
        <rFont val="Aptos Narrow"/>
        <family val="2"/>
        <scheme val="minor"/>
      </rPr>
      <t xml:space="preserve"> de </t>
    </r>
    <r>
      <rPr>
        <b/>
        <i/>
        <sz val="11"/>
        <color theme="1"/>
        <rFont val="Aptos Narrow"/>
        <scheme val="minor"/>
      </rPr>
      <t>ASSINATURAS</t>
    </r>
    <r>
      <rPr>
        <sz val="11"/>
        <color theme="1"/>
        <rFont val="Aptos Narrow"/>
        <family val="2"/>
        <scheme val="minor"/>
      </rPr>
      <t xml:space="preserve"> do EA Play</t>
    </r>
  </si>
  <si>
    <t>Soma de EA Play Season Pass</t>
  </si>
  <si>
    <t>Pergunta de Negócios 3 - Qual o TOTAL DE VENDA de ASSINATURAS do Minecraft Season Pass</t>
  </si>
  <si>
    <t>Soma de Minecraft Season Pass Price</t>
  </si>
  <si>
    <t>CALCULATION PERIOD: 01/01/2024 - 31/12/2024 / UPDATE DATE: 10/02/2026 00:26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</si>
</sst>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0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5"/>
      <color rgb="FF22C55E"/>
      <name val="Segoe UI"/>
      <family val="2"/>
    </font>
    <font>
      <sz val="8"/>
      <color theme="1"/>
      <name val="Aptos Narrow"/>
      <family val="2"/>
      <scheme val="minor"/>
    </font>
    <font>
      <sz val="5"/>
      <color theme="3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8" borderId="0" xfId="0" applyFill="1"/>
    <xf numFmtId="0" fontId="0" fillId="9" borderId="0" xfId="0" applyFill="1"/>
    <xf numFmtId="0" fontId="7" fillId="0" borderId="2" xfId="1" applyFont="1" applyBorder="1"/>
    <xf numFmtId="0" fontId="1" fillId="0" borderId="2" xfId="1" applyBorder="1"/>
    <xf numFmtId="0" fontId="0" fillId="0" borderId="0" xfId="0" applyNumberFormat="1"/>
    <xf numFmtId="0" fontId="8" fillId="8" borderId="0" xfId="0" applyFont="1" applyFill="1"/>
    <xf numFmtId="0" fontId="9" fillId="0" borderId="2" xfId="1" applyFont="1" applyBorder="1"/>
  </cellXfs>
  <cellStyles count="3">
    <cellStyle name="Moeda" xfId="2" builtinId="4"/>
    <cellStyle name="Normal" xfId="0" builtinId="0"/>
    <cellStyle name="Título 1" xfId="1" builtinId="16"/>
  </cellStyles>
  <dxfs count="18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fgColor rgb="FF22C55E"/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fgColor theme="9"/>
          <bgColor theme="6" tint="0.39991454817346722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SlicerStyleLight6 2" pivot="0" table="0" count="10" xr9:uid="{10D43F12-0147-44CB-BD96-D6716DBF8B25}">
      <tableStyleElement type="wholeTable" dxfId="1"/>
      <tableStyleElement type="headerRow" dxfId="0"/>
    </tableStyle>
    <tableStyle name="SlicerStyleLight6 2 2" pivot="0" table="0" count="10" xr9:uid="{9494ACE9-F400-47DC-A171-FC002A2AA627}">
      <tableStyleElement type="wholeTable" dxfId="3"/>
      <tableStyleElement type="headerRow" dxfId="2"/>
    </tableStyle>
  </tableStyles>
  <colors>
    <mruColors>
      <color rgb="FF22C55E"/>
      <color rgb="FF000000"/>
      <color rgb="FF5BF6A8"/>
      <color rgb="FF0D4C6B"/>
      <color rgb="FF4EA72E"/>
      <color rgb="FFE0E0E0"/>
      <color rgb="FFE8E6E9"/>
      <color rgb="FF2AE6B1"/>
      <color rgb="FFEDEDED"/>
      <color rgb="FFF7F8FC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6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[Base.xlsx]C̳álculos!tbl_annual_total</c:name>
    <c:fmtId val="2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302124763054426E-2"/>
          <c:y val="0.23149466743867608"/>
          <c:w val="0.88622377524337514"/>
          <c:h val="0.718139649581752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3-4CBD-BC0C-2402F7D77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0527504"/>
        <c:axId val="440060544"/>
      </c:barChart>
      <c:catAx>
        <c:axId val="44052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0060544"/>
        <c:crosses val="autoZero"/>
        <c:auto val="1"/>
        <c:lblAlgn val="ctr"/>
        <c:lblOffset val="100"/>
        <c:noMultiLvlLbl val="0"/>
      </c:catAx>
      <c:valAx>
        <c:axId val="440060544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44052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08075" y="5067299"/>
          <a:ext cx="1701876" cy="7016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658813</xdr:colOff>
      <xdr:row>1</xdr:row>
      <xdr:rowOff>7936</xdr:rowOff>
    </xdr:from>
    <xdr:to>
      <xdr:col>0</xdr:col>
      <xdr:colOff>1285876</xdr:colOff>
      <xdr:row>6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61BCBBB-90EA-4EC5-982D-91A84DDDB6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90" t="14075" r="71941" b="16380"/>
        <a:stretch/>
      </xdr:blipFill>
      <xdr:spPr>
        <a:xfrm>
          <a:off x="658813" y="158749"/>
          <a:ext cx="627063" cy="666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153988</xdr:rowOff>
    </xdr:from>
    <xdr:to>
      <xdr:col>0</xdr:col>
      <xdr:colOff>1944688</xdr:colOff>
      <xdr:row>13</xdr:row>
      <xdr:rowOff>3176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6A8CD2F4-BED5-4E67-A215-BCD85439C8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98551"/>
              <a:ext cx="1944688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150812</xdr:colOff>
      <xdr:row>3</xdr:row>
      <xdr:rowOff>83344</xdr:rowOff>
    </xdr:from>
    <xdr:to>
      <xdr:col>8</xdr:col>
      <xdr:colOff>182563</xdr:colOff>
      <xdr:row>13</xdr:row>
      <xdr:rowOff>107157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328F78A0-F158-4B05-9348-854D02D7C983}"/>
            </a:ext>
          </a:extLst>
        </xdr:cNvPr>
        <xdr:cNvGrpSpPr/>
      </xdr:nvGrpSpPr>
      <xdr:grpSpPr>
        <a:xfrm>
          <a:off x="2127250" y="575469"/>
          <a:ext cx="4357688" cy="1770063"/>
          <a:chOff x="2127250" y="587375"/>
          <a:chExt cx="4357688" cy="1770063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7A2C1065-D355-477E-A8AE-170EF4B65C25}"/>
              </a:ext>
            </a:extLst>
          </xdr:cNvPr>
          <xdr:cNvSpPr/>
        </xdr:nvSpPr>
        <xdr:spPr>
          <a:xfrm>
            <a:off x="2127250" y="619125"/>
            <a:ext cx="4357688" cy="1738313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4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02FF3488-FF6C-46EE-B960-FF94333436CC}"/>
              </a:ext>
            </a:extLst>
          </xdr:cNvPr>
          <xdr:cNvSpPr/>
        </xdr:nvSpPr>
        <xdr:spPr>
          <a:xfrm>
            <a:off x="3494485" y="1204913"/>
            <a:ext cx="2778124" cy="1047749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89A20E0-7AC6-40F9-9004-D5C0A5825A53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R$ 990,00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0CB1B05C-F85D-4611-B7FC-5EC57BB496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80048" y="1160462"/>
            <a:ext cx="1320800" cy="1136650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D1538637-D6C6-4F86-A655-4D88972137D5}"/>
              </a:ext>
            </a:extLst>
          </xdr:cNvPr>
          <xdr:cNvSpPr/>
        </xdr:nvSpPr>
        <xdr:spPr>
          <a:xfrm>
            <a:off x="2127251" y="587375"/>
            <a:ext cx="4357687" cy="5715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436562</xdr:colOff>
      <xdr:row>3</xdr:row>
      <xdr:rowOff>83344</xdr:rowOff>
    </xdr:from>
    <xdr:to>
      <xdr:col>16</xdr:col>
      <xdr:colOff>438546</xdr:colOff>
      <xdr:row>13</xdr:row>
      <xdr:rowOff>107157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D90E9969-EF7A-4049-8C56-FC420096AF69}"/>
            </a:ext>
          </a:extLst>
        </xdr:cNvPr>
        <xdr:cNvGrpSpPr/>
      </xdr:nvGrpSpPr>
      <xdr:grpSpPr>
        <a:xfrm>
          <a:off x="7397750" y="575469"/>
          <a:ext cx="4454921" cy="1770063"/>
          <a:chOff x="7397750" y="575469"/>
          <a:chExt cx="4454921" cy="1770063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141794FE-D7FF-4B74-8ED2-4CBC258D4D9A}"/>
              </a:ext>
            </a:extLst>
          </xdr:cNvPr>
          <xdr:cNvGrpSpPr/>
        </xdr:nvGrpSpPr>
        <xdr:grpSpPr>
          <a:xfrm>
            <a:off x="7397750" y="575469"/>
            <a:ext cx="4454921" cy="1770063"/>
            <a:chOff x="2127250" y="587375"/>
            <a:chExt cx="4454921" cy="1770063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726ABD68-C529-4BEA-977E-FD0B4BB67675}"/>
                </a:ext>
              </a:extLst>
            </xdr:cNvPr>
            <xdr:cNvSpPr/>
          </xdr:nvSpPr>
          <xdr:spPr>
            <a:xfrm>
              <a:off x="2127250" y="619125"/>
              <a:ext cx="4357688" cy="1738313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6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7D74710B-5322-4FB5-AC7B-A99035B48103}"/>
                </a:ext>
              </a:extLst>
            </xdr:cNvPr>
            <xdr:cNvSpPr/>
          </xdr:nvSpPr>
          <xdr:spPr>
            <a:xfrm>
              <a:off x="3804047" y="1173163"/>
              <a:ext cx="2778124" cy="1047749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8B854BA-391D-4440-A81A-F7861A929E3E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R$ 1.140,00</a:t>
              </a:fld>
              <a:endParaRPr lang="pt-BR" sz="36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2920DBAF-DE84-44C2-A195-AC8405E3C6D2}"/>
                </a:ext>
              </a:extLst>
            </xdr:cNvPr>
            <xdr:cNvSpPr/>
          </xdr:nvSpPr>
          <xdr:spPr>
            <a:xfrm>
              <a:off x="2127251" y="587375"/>
              <a:ext cx="4357687" cy="57150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 SEASON</a:t>
              </a:r>
              <a:r>
                <a:rPr lang="pt-BR" sz="11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PASS</a:t>
              </a:r>
              <a:endPara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49EDAACC-841C-4E5A-9A19-B19F756DA04A}"/>
              </a:ext>
            </a:extLst>
          </xdr:cNvPr>
          <xdr:cNvGrpSpPr/>
        </xdr:nvGrpSpPr>
        <xdr:grpSpPr>
          <a:xfrm>
            <a:off x="7493000" y="1216818"/>
            <a:ext cx="1701876" cy="701676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267F5AB5-E8CE-49AB-A25E-0CC66F39A5A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1D1E09DC-EB0C-4B7F-8A64-B9E4B511037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107018</xdr:colOff>
      <xdr:row>14</xdr:row>
      <xdr:rowOff>44627</xdr:rowOff>
    </xdr:from>
    <xdr:to>
      <xdr:col>17</xdr:col>
      <xdr:colOff>404811</xdr:colOff>
      <xdr:row>30</xdr:row>
      <xdr:rowOff>111125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BBE38A5A-4653-4DB4-9249-1A0ACB8BF244}"/>
            </a:ext>
          </a:extLst>
        </xdr:cNvPr>
        <xdr:cNvGrpSpPr/>
      </xdr:nvGrpSpPr>
      <xdr:grpSpPr>
        <a:xfrm>
          <a:off x="2083456" y="2457627"/>
          <a:ext cx="10187918" cy="2860498"/>
          <a:chOff x="2086101" y="2499960"/>
          <a:chExt cx="10222890" cy="2765248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F9B81726-7B30-4451-B0B8-1A6C202A472A}"/>
              </a:ext>
            </a:extLst>
          </xdr:cNvPr>
          <xdr:cNvGrpSpPr/>
        </xdr:nvGrpSpPr>
        <xdr:grpSpPr>
          <a:xfrm>
            <a:off x="2086101" y="2550231"/>
            <a:ext cx="10222890" cy="2714977"/>
            <a:chOff x="2111376" y="595313"/>
            <a:chExt cx="4511252" cy="2886076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FE987CAF-9CE9-42B8-BA7D-C16316A69072}"/>
                </a:ext>
              </a:extLst>
            </xdr:cNvPr>
            <xdr:cNvSpPr/>
          </xdr:nvSpPr>
          <xdr:spPr>
            <a:xfrm>
              <a:off x="2111376" y="595313"/>
              <a:ext cx="4318000" cy="2571750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4880040B-3192-4FE4-AFBD-56313E31363D}"/>
                </a:ext>
              </a:extLst>
            </xdr:cNvPr>
            <xdr:cNvGraphicFramePr>
              <a:graphicFrameLocks/>
            </xdr:cNvGraphicFramePr>
          </xdr:nvGraphicFramePr>
          <xdr:xfrm>
            <a:off x="2176238" y="738189"/>
            <a:ext cx="444639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C5BAC0EC-4BC5-46F6-B361-AFE61A415FE8}"/>
              </a:ext>
            </a:extLst>
          </xdr:cNvPr>
          <xdr:cNvSpPr/>
        </xdr:nvSpPr>
        <xdr:spPr>
          <a:xfrm>
            <a:off x="2086101" y="2499960"/>
            <a:ext cx="9785754" cy="5873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a Maria Prates De Jesus" refreshedDate="46062.906913541665" createdVersion="6" refreshedVersion="6" minRefreshableVersion="3" recordCount="295" xr:uid="{8FA8FBC6-C16B-4123-A334-A1662DC5A2A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087413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5441D-383E-4B5E-B8F7-B21F05A6265E}" name="Tabela dinâmica2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3E845D-5DB7-4C36-88AE-0220A12C4D3A}" name="tbl_easeasonpass_total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AE369-6E5F-4EF0-9D7E-C6D657DE0B18}" name="tbl_annual_total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1" baseItem="0" numFmtId="16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9C4F66F-E209-40F1-B3B1-82C5D9982E78}" sourceName="Subscription Type">
  <pivotTables>
    <pivotTable tabId="3" name="tbl_annual_total"/>
    <pivotTable tabId="3" name="tbl_easeasonpass_total"/>
    <pivotTable tabId="3" name="Tabela dinâmica2"/>
  </pivotTables>
  <data>
    <tabular pivotCacheId="1508741392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327B545-4920-4B08-9D70-77DECB2FB64D}" cache="SegmentaçãodeDados_Subscription_Type" caption="Subscription Type" style="SlicerStyleLight6 2" rowHeight="23071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U23" sqref="U23"/>
    </sheetView>
  </sheetViews>
  <sheetFormatPr defaultRowHeight="14"/>
  <cols>
    <col min="9" max="9" width="3.58203125" customWidth="1"/>
  </cols>
  <sheetData>
    <row r="3" spans="2:16" ht="19.5" thickBot="1">
      <c r="B3" s="1" t="s">
        <v>0</v>
      </c>
      <c r="C3" s="1"/>
      <c r="D3" s="1"/>
      <c r="E3" s="1"/>
      <c r="F3" s="1"/>
      <c r="G3" s="1"/>
      <c r="H3" s="1"/>
    </row>
    <row r="4" spans="2:16" ht="14.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19.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U23" sqref="U23"/>
    </sheetView>
  </sheetViews>
  <sheetFormatPr defaultRowHeight="14"/>
  <cols>
    <col min="1" max="1" width="17.83203125" bestFit="1" customWidth="1"/>
    <col min="2" max="2" width="18.83203125" bestFit="1" customWidth="1"/>
    <col min="3" max="3" width="9.4140625" bestFit="1" customWidth="1"/>
    <col min="4" max="4" width="14.58203125" bestFit="1" customWidth="1"/>
    <col min="5" max="5" width="18" bestFit="1" customWidth="1"/>
    <col min="6" max="6" width="14.75" bestFit="1" customWidth="1"/>
    <col min="7" max="7" width="22" bestFit="1" customWidth="1"/>
    <col min="8" max="8" width="20.58203125" bestFit="1" customWidth="1"/>
    <col min="9" max="9" width="20.58203125" customWidth="1"/>
    <col min="10" max="10" width="16.75" bestFit="1" customWidth="1"/>
    <col min="11" max="11" width="21.25" bestFit="1" customWidth="1"/>
    <col min="12" max="12" width="12.75" bestFit="1" customWidth="1"/>
    <col min="13" max="13" width="10.58203125" bestFit="1" customWidth="1"/>
  </cols>
  <sheetData>
    <row r="1" spans="1:13" ht="28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6"/>
  <sheetViews>
    <sheetView showGridLines="0" topLeftCell="A16" workbookViewId="0">
      <selection activeCell="S22" sqref="S22"/>
    </sheetView>
  </sheetViews>
  <sheetFormatPr defaultRowHeight="14"/>
  <cols>
    <col min="2" max="2" width="17.25" bestFit="1" customWidth="1"/>
    <col min="3" max="3" width="33.5" bestFit="1" customWidth="1"/>
    <col min="4" max="4" width="30.58203125" bestFit="1" customWidth="1"/>
    <col min="5" max="5" width="11.25" customWidth="1"/>
    <col min="6" max="6" width="19.1640625" bestFit="1" customWidth="1"/>
    <col min="7" max="7" width="27.75" bestFit="1" customWidth="1"/>
    <col min="8" max="8" width="5.4140625" customWidth="1"/>
    <col min="9" max="9" width="21.1640625" bestFit="1" customWidth="1"/>
    <col min="10" max="11" width="35.1640625" bestFit="1" customWidth="1"/>
    <col min="12" max="15" width="9.75" bestFit="1" customWidth="1"/>
    <col min="16" max="16" width="15.58203125" bestFit="1" customWidth="1"/>
    <col min="17" max="17" width="12.1640625" bestFit="1" customWidth="1"/>
  </cols>
  <sheetData>
    <row r="3" spans="2:3">
      <c r="B3" t="s">
        <v>316</v>
      </c>
    </row>
    <row r="4" spans="2:3" ht="14.5">
      <c r="B4" t="s">
        <v>317</v>
      </c>
    </row>
    <row r="6" spans="2:3">
      <c r="B6" s="12" t="s">
        <v>16</v>
      </c>
      <c r="C6" t="s">
        <v>27</v>
      </c>
    </row>
    <row r="8" spans="2:3">
      <c r="B8" s="12" t="s">
        <v>313</v>
      </c>
      <c r="C8" t="s">
        <v>315</v>
      </c>
    </row>
    <row r="9" spans="2:3">
      <c r="B9" s="13" t="s">
        <v>23</v>
      </c>
      <c r="C9" s="14">
        <v>806</v>
      </c>
    </row>
    <row r="10" spans="2:3">
      <c r="B10" s="13" t="s">
        <v>19</v>
      </c>
      <c r="C10" s="14">
        <v>1502</v>
      </c>
    </row>
    <row r="11" spans="2:3">
      <c r="B11" s="13" t="s">
        <v>314</v>
      </c>
      <c r="C11" s="14">
        <v>2308</v>
      </c>
    </row>
    <row r="17" spans="2:5">
      <c r="B17" t="s">
        <v>319</v>
      </c>
    </row>
    <row r="19" spans="2:5">
      <c r="B19" s="12" t="s">
        <v>16</v>
      </c>
      <c r="C19" t="s">
        <v>27</v>
      </c>
    </row>
    <row r="21" spans="2:5">
      <c r="B21" s="12" t="s">
        <v>313</v>
      </c>
      <c r="C21" t="s">
        <v>320</v>
      </c>
    </row>
    <row r="22" spans="2:5">
      <c r="B22" s="13" t="s">
        <v>22</v>
      </c>
      <c r="C22" s="19">
        <v>0</v>
      </c>
    </row>
    <row r="23" spans="2:5">
      <c r="B23" s="13" t="s">
        <v>26</v>
      </c>
      <c r="C23" s="19">
        <v>0</v>
      </c>
    </row>
    <row r="24" spans="2:5">
      <c r="B24" s="13" t="s">
        <v>18</v>
      </c>
      <c r="C24" s="19">
        <v>990</v>
      </c>
      <c r="E24" s="14">
        <f>GETPIVOTDATA("EA Play Season Pass
Price",$B$21,"Plan","Ultimate")</f>
        <v>990</v>
      </c>
    </row>
    <row r="25" spans="2:5">
      <c r="B25" s="13" t="s">
        <v>314</v>
      </c>
      <c r="C25" s="19">
        <v>990</v>
      </c>
    </row>
    <row r="28" spans="2:5">
      <c r="B28" t="s">
        <v>321</v>
      </c>
    </row>
    <row r="30" spans="2:5">
      <c r="B30" s="12" t="s">
        <v>16</v>
      </c>
      <c r="C30" t="s">
        <v>27</v>
      </c>
    </row>
    <row r="32" spans="2:5">
      <c r="B32" s="12" t="s">
        <v>313</v>
      </c>
      <c r="C32" t="s">
        <v>322</v>
      </c>
      <c r="D32" s="12"/>
      <c r="E32" s="12"/>
    </row>
    <row r="33" spans="2:5">
      <c r="B33" s="13" t="s">
        <v>22</v>
      </c>
      <c r="C33" s="19">
        <v>0</v>
      </c>
    </row>
    <row r="34" spans="2:5">
      <c r="B34" s="13" t="s">
        <v>26</v>
      </c>
      <c r="C34" s="19">
        <v>480</v>
      </c>
    </row>
    <row r="35" spans="2:5">
      <c r="B35" s="13" t="s">
        <v>18</v>
      </c>
      <c r="C35" s="19">
        <v>660</v>
      </c>
    </row>
    <row r="36" spans="2:5">
      <c r="B36" s="13" t="s">
        <v>314</v>
      </c>
      <c r="C36" s="19">
        <v>1140</v>
      </c>
      <c r="E36" s="14">
        <f>GETPIVOTDATA("Minecraft Season Pass Price",$B$32)</f>
        <v>1140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144"/>
  <sheetViews>
    <sheetView showGridLines="0" tabSelected="1" zoomScale="80" zoomScaleNormal="80" workbookViewId="0">
      <selection activeCell="T11" sqref="T11"/>
    </sheetView>
  </sheetViews>
  <sheetFormatPr defaultRowHeight="14"/>
  <cols>
    <col min="1" max="1" width="25.9140625" style="4" customWidth="1"/>
    <col min="2" max="2" width="4.1640625" style="15" customWidth="1"/>
    <col min="3" max="3" width="9.4140625" customWidth="1"/>
    <col min="13" max="13" width="6.58203125" customWidth="1"/>
    <col min="17" max="17" width="5.9140625" customWidth="1"/>
  </cols>
  <sheetData>
    <row r="1" spans="1:17" ht="12" customHeight="1">
      <c r="B1" s="16"/>
    </row>
    <row r="2" spans="1:17" ht="18" customHeight="1" thickBot="1">
      <c r="B2" s="16"/>
      <c r="C2" s="17" t="s">
        <v>318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21" t="s">
        <v>323</v>
      </c>
    </row>
    <row r="3" spans="1:17" ht="9" customHeight="1" thickTop="1">
      <c r="B3" s="16"/>
    </row>
    <row r="4" spans="1:17" s="15" customFormat="1" ht="8.25" customHeight="1">
      <c r="A4" s="4"/>
    </row>
    <row r="5" spans="1:17" s="15" customFormat="1" ht="7.5" customHeight="1">
      <c r="A5" s="4"/>
    </row>
    <row r="6" spans="1:17" s="15" customFormat="1" ht="10.5" customHeight="1">
      <c r="A6" s="4"/>
    </row>
    <row r="7" spans="1:17" s="15" customFormat="1" ht="9.75" customHeight="1">
      <c r="A7" s="4"/>
    </row>
    <row r="8" spans="1:17" s="15" customFormat="1" ht="33" customHeight="1">
      <c r="A8" s="4"/>
    </row>
    <row r="9" spans="1:17" s="15" customFormat="1">
      <c r="A9" s="4"/>
    </row>
    <row r="10" spans="1:17" s="15" customFormat="1">
      <c r="A10" s="4"/>
    </row>
    <row r="11" spans="1:17" s="15" customFormat="1">
      <c r="A11" s="4"/>
    </row>
    <row r="12" spans="1:17" s="15" customFormat="1">
      <c r="A12" s="4"/>
    </row>
    <row r="13" spans="1:17" s="15" customFormat="1">
      <c r="A13" s="4"/>
    </row>
    <row r="14" spans="1:17" s="15" customFormat="1">
      <c r="A14" s="4"/>
    </row>
    <row r="15" spans="1:17" s="15" customFormat="1">
      <c r="A15" s="4"/>
    </row>
    <row r="16" spans="1:17" s="15" customFormat="1">
      <c r="A16" s="4"/>
    </row>
    <row r="17" spans="1:3" s="15" customFormat="1">
      <c r="A17" s="4"/>
    </row>
    <row r="18" spans="1:3" s="15" customFormat="1">
      <c r="A18" s="4"/>
    </row>
    <row r="19" spans="1:3" s="15" customFormat="1">
      <c r="A19" s="4"/>
    </row>
    <row r="20" spans="1:3" s="15" customFormat="1">
      <c r="A20" s="4"/>
    </row>
    <row r="21" spans="1:3" s="15" customFormat="1">
      <c r="A21" s="4"/>
    </row>
    <row r="22" spans="1:3" s="15" customFormat="1">
      <c r="A22" s="4"/>
    </row>
    <row r="23" spans="1:3" s="15" customFormat="1">
      <c r="A23" s="4"/>
    </row>
    <row r="24" spans="1:3" s="15" customFormat="1">
      <c r="A24" s="4"/>
    </row>
    <row r="25" spans="1:3" s="15" customFormat="1">
      <c r="A25" s="4"/>
    </row>
    <row r="26" spans="1:3" s="15" customFormat="1">
      <c r="A26" s="4"/>
    </row>
    <row r="27" spans="1:3" s="15" customFormat="1">
      <c r="A27" s="4"/>
    </row>
    <row r="28" spans="1:3" s="15" customFormat="1">
      <c r="A28" s="4"/>
    </row>
    <row r="29" spans="1:3" s="15" customFormat="1">
      <c r="A29" s="4"/>
    </row>
    <row r="30" spans="1:3" s="15" customFormat="1">
      <c r="A30" s="4"/>
    </row>
    <row r="31" spans="1:3" s="15" customFormat="1">
      <c r="A31" s="4"/>
    </row>
    <row r="32" spans="1:3" s="15" customFormat="1">
      <c r="A32" s="4"/>
      <c r="C32" s="20"/>
    </row>
    <row r="33" spans="1:1" s="15" customFormat="1">
      <c r="A33" s="4"/>
    </row>
    <row r="34" spans="1:1" s="15" customFormat="1">
      <c r="A34" s="4"/>
    </row>
    <row r="35" spans="1:1" s="15" customFormat="1">
      <c r="A35" s="4"/>
    </row>
    <row r="36" spans="1:1" s="15" customFormat="1">
      <c r="A36" s="4"/>
    </row>
    <row r="37" spans="1:1" s="15" customFormat="1">
      <c r="A37" s="4"/>
    </row>
    <row r="38" spans="1:1" s="15" customFormat="1">
      <c r="A38" s="4"/>
    </row>
    <row r="39" spans="1:1" s="15" customFormat="1">
      <c r="A39" s="4"/>
    </row>
    <row r="40" spans="1:1" s="15" customFormat="1">
      <c r="A40" s="4"/>
    </row>
    <row r="41" spans="1:1" s="15" customFormat="1">
      <c r="A41" s="4"/>
    </row>
    <row r="42" spans="1:1" s="15" customFormat="1">
      <c r="A42" s="4"/>
    </row>
    <row r="43" spans="1:1" s="15" customFormat="1">
      <c r="A43" s="4"/>
    </row>
    <row r="44" spans="1:1" s="15" customFormat="1">
      <c r="A44" s="4"/>
    </row>
    <row r="45" spans="1:1" s="15" customFormat="1">
      <c r="A45" s="4"/>
    </row>
    <row r="46" spans="1:1" s="15" customFormat="1">
      <c r="A46" s="4"/>
    </row>
    <row r="47" spans="1:1" s="15" customFormat="1">
      <c r="A47" s="4"/>
    </row>
    <row r="48" spans="1:1" s="15" customFormat="1">
      <c r="A48" s="4"/>
    </row>
    <row r="49" spans="1:1" s="15" customFormat="1">
      <c r="A49" s="4"/>
    </row>
    <row r="50" spans="1:1" s="15" customFormat="1">
      <c r="A50" s="4"/>
    </row>
    <row r="51" spans="1:1" s="15" customFormat="1">
      <c r="A51" s="4"/>
    </row>
    <row r="52" spans="1:1" s="15" customFormat="1">
      <c r="A52" s="4"/>
    </row>
    <row r="53" spans="1:1" s="15" customFormat="1">
      <c r="A53" s="4"/>
    </row>
    <row r="54" spans="1:1" s="15" customFormat="1">
      <c r="A54" s="4"/>
    </row>
    <row r="55" spans="1:1" s="15" customFormat="1">
      <c r="A55" s="4"/>
    </row>
    <row r="56" spans="1:1" s="15" customFormat="1">
      <c r="A56" s="4"/>
    </row>
    <row r="57" spans="1:1" s="15" customFormat="1">
      <c r="A57" s="4"/>
    </row>
    <row r="58" spans="1:1" s="15" customFormat="1">
      <c r="A58" s="4"/>
    </row>
    <row r="59" spans="1:1" s="15" customFormat="1">
      <c r="A59" s="4"/>
    </row>
    <row r="60" spans="1:1" s="15" customFormat="1">
      <c r="A60" s="4"/>
    </row>
    <row r="61" spans="1:1" s="15" customFormat="1">
      <c r="A61" s="4"/>
    </row>
    <row r="62" spans="1:1" s="15" customFormat="1">
      <c r="A62" s="4"/>
    </row>
    <row r="63" spans="1:1" s="15" customFormat="1">
      <c r="A63" s="4"/>
    </row>
    <row r="64" spans="1:1" s="15" customFormat="1">
      <c r="A64" s="4"/>
    </row>
    <row r="65" spans="1:1" s="15" customFormat="1">
      <c r="A65" s="4"/>
    </row>
    <row r="66" spans="1:1" s="15" customFormat="1">
      <c r="A66" s="4"/>
    </row>
    <row r="67" spans="1:1" s="15" customFormat="1">
      <c r="A67" s="4"/>
    </row>
    <row r="68" spans="1:1" s="15" customFormat="1">
      <c r="A68" s="4"/>
    </row>
    <row r="69" spans="1:1" s="15" customFormat="1">
      <c r="A69" s="4"/>
    </row>
    <row r="70" spans="1:1" s="15" customFormat="1">
      <c r="A70" s="4"/>
    </row>
    <row r="71" spans="1:1" s="15" customFormat="1">
      <c r="A71" s="4"/>
    </row>
    <row r="72" spans="1:1" s="15" customFormat="1">
      <c r="A72" s="4"/>
    </row>
    <row r="73" spans="1:1" s="15" customFormat="1">
      <c r="A73" s="4"/>
    </row>
    <row r="74" spans="1:1" s="15" customFormat="1">
      <c r="A74" s="4"/>
    </row>
    <row r="75" spans="1:1" s="15" customFormat="1">
      <c r="A75" s="4"/>
    </row>
    <row r="76" spans="1:1" s="15" customFormat="1">
      <c r="A76" s="4"/>
    </row>
    <row r="77" spans="1:1" s="15" customFormat="1">
      <c r="A77" s="4"/>
    </row>
    <row r="78" spans="1:1" s="15" customFormat="1">
      <c r="A78" s="4"/>
    </row>
    <row r="79" spans="1:1" s="15" customFormat="1">
      <c r="A79" s="4"/>
    </row>
    <row r="80" spans="1:1" s="15" customFormat="1">
      <c r="A80" s="4"/>
    </row>
    <row r="81" spans="1:1" s="15" customFormat="1">
      <c r="A81" s="4"/>
    </row>
    <row r="82" spans="1:1" s="15" customFormat="1">
      <c r="A82" s="4"/>
    </row>
    <row r="83" spans="1:1" s="15" customFormat="1">
      <c r="A83" s="4"/>
    </row>
    <row r="84" spans="1:1" s="15" customFormat="1">
      <c r="A84" s="4"/>
    </row>
    <row r="85" spans="1:1" s="15" customFormat="1">
      <c r="A85" s="4"/>
    </row>
    <row r="86" spans="1:1" s="15" customFormat="1">
      <c r="A86" s="4"/>
    </row>
    <row r="87" spans="1:1" s="15" customFormat="1">
      <c r="A87" s="4"/>
    </row>
    <row r="88" spans="1:1" s="15" customFormat="1">
      <c r="A88" s="4"/>
    </row>
    <row r="89" spans="1:1" s="15" customFormat="1">
      <c r="A89" s="4"/>
    </row>
    <row r="90" spans="1:1" s="15" customFormat="1">
      <c r="A90" s="4"/>
    </row>
    <row r="91" spans="1:1" s="15" customFormat="1">
      <c r="A91" s="4"/>
    </row>
    <row r="92" spans="1:1" s="15" customFormat="1">
      <c r="A92" s="4"/>
    </row>
    <row r="93" spans="1:1" s="15" customFormat="1">
      <c r="A93" s="4"/>
    </row>
    <row r="94" spans="1:1" s="15" customFormat="1">
      <c r="A94" s="4"/>
    </row>
    <row r="95" spans="1:1" s="15" customFormat="1">
      <c r="A95" s="4"/>
    </row>
    <row r="96" spans="1:1" s="15" customFormat="1">
      <c r="A96" s="4"/>
    </row>
    <row r="97" spans="1:1" s="15" customFormat="1">
      <c r="A97" s="4"/>
    </row>
    <row r="98" spans="1:1" s="15" customFormat="1">
      <c r="A98" s="4"/>
    </row>
    <row r="99" spans="1:1" s="15" customFormat="1">
      <c r="A99" s="4"/>
    </row>
    <row r="100" spans="1:1" s="15" customFormat="1">
      <c r="A100" s="4"/>
    </row>
    <row r="101" spans="1:1" s="15" customFormat="1">
      <c r="A101" s="4"/>
    </row>
    <row r="102" spans="1:1" s="15" customFormat="1">
      <c r="A102" s="4"/>
    </row>
    <row r="103" spans="1:1" s="15" customFormat="1">
      <c r="A103" s="4"/>
    </row>
    <row r="104" spans="1:1" s="15" customFormat="1">
      <c r="A104" s="4"/>
    </row>
    <row r="105" spans="1:1" s="15" customFormat="1">
      <c r="A105" s="4"/>
    </row>
    <row r="106" spans="1:1" s="15" customFormat="1">
      <c r="A106" s="4"/>
    </row>
    <row r="107" spans="1:1" s="15" customFormat="1">
      <c r="A107" s="4"/>
    </row>
    <row r="108" spans="1:1" s="15" customFormat="1">
      <c r="A108" s="4"/>
    </row>
    <row r="109" spans="1:1" s="15" customFormat="1">
      <c r="A109" s="4"/>
    </row>
    <row r="110" spans="1:1" s="15" customFormat="1">
      <c r="A110" s="4"/>
    </row>
    <row r="111" spans="1:1" s="15" customFormat="1">
      <c r="A111" s="4"/>
    </row>
    <row r="112" spans="1:1" s="15" customFormat="1">
      <c r="A112" s="4"/>
    </row>
    <row r="113" spans="1:1" s="15" customFormat="1">
      <c r="A113" s="4"/>
    </row>
    <row r="114" spans="1:1" s="15" customFormat="1">
      <c r="A114" s="4"/>
    </row>
    <row r="115" spans="1:1" s="15" customFormat="1">
      <c r="A115" s="4"/>
    </row>
    <row r="116" spans="1:1" s="15" customFormat="1">
      <c r="A116" s="4"/>
    </row>
    <row r="117" spans="1:1" s="15" customFormat="1">
      <c r="A117" s="4"/>
    </row>
    <row r="118" spans="1:1" s="15" customFormat="1">
      <c r="A118" s="4"/>
    </row>
    <row r="119" spans="1:1" s="15" customFormat="1">
      <c r="A119" s="4"/>
    </row>
    <row r="120" spans="1:1" s="15" customFormat="1">
      <c r="A120" s="4"/>
    </row>
    <row r="121" spans="1:1" s="15" customFormat="1">
      <c r="A121" s="4"/>
    </row>
    <row r="122" spans="1:1" s="15" customFormat="1">
      <c r="A122" s="4"/>
    </row>
    <row r="123" spans="1:1" s="15" customFormat="1">
      <c r="A123" s="4"/>
    </row>
    <row r="124" spans="1:1" s="15" customFormat="1">
      <c r="A124" s="4"/>
    </row>
    <row r="125" spans="1:1" s="15" customFormat="1">
      <c r="A125" s="4"/>
    </row>
    <row r="126" spans="1:1" s="15" customFormat="1">
      <c r="A126" s="4"/>
    </row>
    <row r="127" spans="1:1" s="15" customFormat="1">
      <c r="A127" s="4"/>
    </row>
    <row r="128" spans="1:1" s="15" customFormat="1">
      <c r="A128" s="4"/>
    </row>
    <row r="129" spans="1:1" s="15" customFormat="1">
      <c r="A129" s="4"/>
    </row>
    <row r="130" spans="1:1" s="15" customFormat="1">
      <c r="A130" s="4"/>
    </row>
    <row r="131" spans="1:1" s="15" customFormat="1">
      <c r="A131" s="4"/>
    </row>
    <row r="132" spans="1:1" s="15" customFormat="1">
      <c r="A132" s="4"/>
    </row>
    <row r="133" spans="1:1" s="15" customFormat="1">
      <c r="A133" s="4"/>
    </row>
    <row r="134" spans="1:1" s="15" customFormat="1">
      <c r="A134" s="4"/>
    </row>
    <row r="135" spans="1:1" s="15" customFormat="1">
      <c r="A135" s="4"/>
    </row>
    <row r="136" spans="1:1" s="15" customFormat="1">
      <c r="A136" s="4"/>
    </row>
    <row r="137" spans="1:1" s="15" customFormat="1">
      <c r="A137" s="4"/>
    </row>
    <row r="138" spans="1:1" s="15" customFormat="1">
      <c r="A138" s="4"/>
    </row>
    <row r="139" spans="1:1" s="15" customFormat="1">
      <c r="A139" s="4"/>
    </row>
    <row r="140" spans="1:1" s="15" customFormat="1">
      <c r="A140" s="4"/>
    </row>
    <row r="141" spans="1:1" s="15" customFormat="1">
      <c r="A141" s="4"/>
    </row>
    <row r="142" spans="1:1" s="15" customFormat="1">
      <c r="A142" s="4"/>
    </row>
    <row r="143" spans="1:1" s="15" customFormat="1">
      <c r="A143" s="4"/>
    </row>
    <row r="144" spans="1:1" s="15" customFormat="1">
      <c r="A144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Bruna Maria Prates De Jesus</cp:lastModifiedBy>
  <dcterms:created xsi:type="dcterms:W3CDTF">2024-12-19T13:13:10Z</dcterms:created>
  <dcterms:modified xsi:type="dcterms:W3CDTF">2026-02-10T03:32:52Z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